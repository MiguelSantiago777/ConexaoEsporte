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D:\Users\gabriela.ghisleni\Desktop\Modelos\"/>
    </mc:Choice>
  </mc:AlternateContent>
  <xr:revisionPtr revIDLastSave="0" documentId="11_5270EA06CA3B223F6851A7D1692CB13C0F0519BF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ista de Presença" sheetId="1" r:id="rId1"/>
  </sheets>
  <externalReferences>
    <externalReference r:id="rId2"/>
    <externalReference r:id="rId3"/>
    <externalReference r:id="rId4"/>
  </externalReferences>
  <definedNames>
    <definedName name="_xlnm.Print_Area" localSheetId="0">'Lista de Presença'!$A$1:$AM$54</definedName>
    <definedName name="Catar_X_Equador___Fase_de_Grupos">#REF!</definedName>
    <definedName name="Clientes">'[1]Cadastro Cliente'!$A$3:$B$1048576</definedName>
    <definedName name="cod_cliente">[1]Vendas!$A$3:$A$1048576</definedName>
    <definedName name="cod_saida">[1]Vendas!$C$3:$C$1048576</definedName>
    <definedName name="Cod_Saída">[2]Saídas!$C$5:$C$1048576</definedName>
    <definedName name="Codigo_Produto">[1]Entradas!$B$3:$B$1048576</definedName>
    <definedName name="Código_Produto">[2]Entradas!$C$5:$C$1048576</definedName>
    <definedName name="CODIGOS">[2]Inventário!$B$5:$B$2004</definedName>
    <definedName name="Itens">[1]Estoque!$A$3:$F$1048576</definedName>
    <definedName name="Jogos">[3]Jogos!$K$2:$K$72</definedName>
    <definedName name="participantes">[3]Participantes!$A$2:$A$202</definedName>
    <definedName name="quantidade_adquirida">[2]Entradas!$E$5:$E$1048576</definedName>
    <definedName name="quantidade_comprada">[1]Vendas!$F$3:$F$1048576</definedName>
    <definedName name="quantidade_vendida">[2]Saídas!$E$5:$E$1048576</definedName>
    <definedName name="seleções">#REF!</definedName>
    <definedName name="Senegal_X_Holanda___Fase_de_Grupos">#REF!</definedName>
    <definedName name="valuevx">42.314159</definedName>
    <definedName name="vertex42_copyright" hidden="1">"© 2014 Vertex42 LLC"</definedName>
    <definedName name="vertex42_id" hidden="1">"ovulation-calendar.xlsx"</definedName>
    <definedName name="vertex42_title" hidden="1">"Ovulation Calendar"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K10" i="1"/>
  <c r="AL10" i="1"/>
  <c r="AK11" i="1"/>
  <c r="AL11" i="1"/>
  <c r="AK12" i="1"/>
  <c r="AL12" i="1"/>
  <c r="AK13" i="1"/>
  <c r="AL13" i="1"/>
  <c r="AK14" i="1"/>
  <c r="AL14" i="1"/>
  <c r="AK15" i="1"/>
  <c r="AK16" i="1"/>
  <c r="AK17" i="1"/>
  <c r="AL17" i="1"/>
  <c r="AK18" i="1"/>
  <c r="AL18" i="1"/>
  <c r="AK19" i="1"/>
  <c r="AL19" i="1"/>
  <c r="AK20" i="1"/>
  <c r="AL20" i="1"/>
  <c r="AK21" i="1"/>
  <c r="AL21" i="1"/>
  <c r="AK22" i="1"/>
  <c r="AL22" i="1"/>
  <c r="AK23" i="1"/>
  <c r="AK24" i="1"/>
  <c r="AK25" i="1"/>
  <c r="AL25" i="1"/>
  <c r="AK26" i="1"/>
  <c r="AL26" i="1"/>
  <c r="AK27" i="1"/>
  <c r="AL27" i="1"/>
  <c r="AK28" i="1"/>
  <c r="AL28" i="1"/>
  <c r="AK29" i="1"/>
  <c r="AL29" i="1"/>
  <c r="AK30" i="1"/>
  <c r="AL30" i="1"/>
  <c r="AK31" i="1"/>
  <c r="AK32" i="1"/>
  <c r="AK33" i="1"/>
  <c r="AL33" i="1"/>
  <c r="AK34" i="1"/>
  <c r="AL34" i="1"/>
  <c r="AK35" i="1"/>
  <c r="AL35" i="1"/>
  <c r="AK36" i="1"/>
  <c r="AL36" i="1"/>
  <c r="AK37" i="1"/>
  <c r="AL37" i="1"/>
  <c r="AK38" i="1"/>
  <c r="AL38" i="1"/>
  <c r="AK39" i="1"/>
  <c r="AK40" i="1"/>
  <c r="AL40" i="1"/>
  <c r="AK41" i="1"/>
  <c r="AL41" i="1"/>
  <c r="AK42" i="1"/>
  <c r="AL42" i="1"/>
  <c r="AK43" i="1"/>
  <c r="AL43" i="1"/>
  <c r="AK44" i="1"/>
  <c r="AL44" i="1"/>
  <c r="AK45" i="1"/>
  <c r="AL45" i="1"/>
  <c r="AK46" i="1"/>
  <c r="AL46" i="1"/>
  <c r="AK47" i="1"/>
  <c r="AK48" i="1"/>
  <c r="AL48" i="1"/>
  <c r="AK49" i="1"/>
  <c r="AL49" i="1"/>
  <c r="AK50" i="1"/>
  <c r="AL50" i="1"/>
  <c r="AK51" i="1"/>
  <c r="AL51" i="1"/>
  <c r="AK52" i="1"/>
  <c r="AL52" i="1"/>
  <c r="AK53" i="1"/>
  <c r="AL53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L15" i="1"/>
  <c r="AL16" i="1"/>
  <c r="AL23" i="1"/>
  <c r="AL24" i="1"/>
  <c r="AL31" i="1"/>
  <c r="AL32" i="1"/>
  <c r="AL39" i="1"/>
  <c r="AL47" i="1"/>
  <c r="AK9" i="1"/>
  <c r="AL9" i="1"/>
  <c r="AJ9" i="1"/>
</calcChain>
</file>

<file path=xl/sharedStrings.xml><?xml version="1.0" encoding="utf-8"?>
<sst xmlns="http://schemas.openxmlformats.org/spreadsheetml/2006/main" count="24" uniqueCount="24">
  <si>
    <t>TIMBRE DA ENTIDADE</t>
  </si>
  <si>
    <t>LISTA DE PRESENÇA - ENTIDADE E Nº INSTRUMENTO</t>
  </si>
  <si>
    <t>Maio</t>
  </si>
  <si>
    <t>Ausente (A)</t>
  </si>
  <si>
    <t>Presente (P)</t>
  </si>
  <si>
    <t>% Presença</t>
  </si>
  <si>
    <t>Núcleo:</t>
  </si>
  <si>
    <t xml:space="preserve">Turma: </t>
  </si>
  <si>
    <t>COORDENADOR:</t>
  </si>
  <si>
    <t>Periodicidade</t>
  </si>
  <si>
    <t>PROFESSOR:</t>
  </si>
  <si>
    <t xml:space="preserve">Modalidade: </t>
  </si>
  <si>
    <t>Fim de Semana</t>
  </si>
  <si>
    <t>MONITOR:</t>
  </si>
  <si>
    <t>Horário</t>
  </si>
  <si>
    <t>A</t>
  </si>
  <si>
    <t>Ausente</t>
  </si>
  <si>
    <t>N°</t>
  </si>
  <si>
    <t>Beneficiado</t>
  </si>
  <si>
    <t>P</t>
  </si>
  <si>
    <t>Presente</t>
  </si>
  <si>
    <t>_______________________________
Coordenador Geral</t>
  </si>
  <si>
    <t>__________________________
Professor/Coord. Núcleo</t>
  </si>
  <si>
    <t>____________________________
Monitor/Instrutor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</si>
</sst>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b/>
      <sz val="22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0"/>
      <color rgb="FFD12929"/>
      <name val="Calibri"/>
      <family val="2"/>
      <scheme val="minor"/>
    </font>
    <font>
      <sz val="10"/>
      <color rgb="FFD12929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 tint="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/>
      <diagonal/>
    </border>
    <border>
      <left style="thin">
        <color theme="1" tint="0.14996795556505021"/>
      </left>
      <right style="thin">
        <color theme="1" tint="0.14996795556505021"/>
      </right>
      <top/>
      <bottom/>
      <diagonal/>
    </border>
    <border>
      <left/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/>
      <right/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/>
      <top style="thin">
        <color theme="1" tint="0.14996795556505021"/>
      </top>
      <bottom/>
      <diagonal/>
    </border>
    <border>
      <left/>
      <right/>
      <top style="thin">
        <color theme="1" tint="0.14996795556505021"/>
      </top>
      <bottom/>
      <diagonal/>
    </border>
    <border>
      <left/>
      <right style="thin">
        <color theme="1" tint="0.14996795556505021"/>
      </right>
      <top style="thin">
        <color theme="1" tint="0.14996795556505021"/>
      </top>
      <bottom/>
      <diagonal/>
    </border>
    <border>
      <left style="thin">
        <color theme="1" tint="0.14996795556505021"/>
      </left>
      <right/>
      <top/>
      <bottom style="thin">
        <color theme="1" tint="0.14996795556505021"/>
      </bottom>
      <diagonal/>
    </border>
    <border>
      <left/>
      <right/>
      <top/>
      <bottom style="thin">
        <color theme="1" tint="0.14996795556505021"/>
      </bottom>
      <diagonal/>
    </border>
    <border>
      <left/>
      <right style="thin">
        <color theme="1" tint="0.14996795556505021"/>
      </right>
      <top/>
      <bottom style="thin">
        <color theme="1" tint="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14993743705557422"/>
      </right>
      <top/>
      <bottom style="thin">
        <color theme="1" tint="0.14996795556505021"/>
      </bottom>
      <diagonal/>
    </border>
    <border>
      <left style="thin">
        <color theme="1" tint="0.14993743705557422"/>
      </left>
      <right/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/>
      <top style="thin">
        <color theme="1" tint="0.14996795556505021"/>
      </top>
      <bottom style="thin">
        <color theme="1" tint="0.14996795556505021"/>
      </bottom>
      <diagonal/>
    </border>
    <border>
      <left style="thin">
        <color indexed="64"/>
      </left>
      <right/>
      <top style="thin">
        <color theme="1" tint="0.14996795556505021"/>
      </top>
      <bottom style="thin">
        <color theme="1" tint="0.14996795556505021"/>
      </bottom>
      <diagonal/>
    </border>
    <border>
      <left style="thin">
        <color theme="1" tint="0.14996795556505021"/>
      </left>
      <right/>
      <top style="thin">
        <color indexed="64"/>
      </top>
      <bottom style="thin">
        <color theme="1" tint="0.14996795556505021"/>
      </bottom>
      <diagonal/>
    </border>
    <border>
      <left/>
      <right/>
      <top style="thin">
        <color indexed="64"/>
      </top>
      <bottom style="thin">
        <color theme="1" tint="0.14996795556505021"/>
      </bottom>
      <diagonal/>
    </border>
    <border>
      <left/>
      <right style="thin">
        <color theme="1" tint="0.14996795556505021"/>
      </right>
      <top style="thin">
        <color indexed="64"/>
      </top>
      <bottom style="thin">
        <color theme="1" tint="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14996795556505021"/>
      </right>
      <top style="thin">
        <color theme="1" tint="0.1499679555650502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6795556505021"/>
      </left>
      <right style="medium">
        <color indexed="64"/>
      </right>
      <top style="thin">
        <color theme="1" tint="0.14996795556505021"/>
      </top>
      <bottom style="thin">
        <color theme="1" tint="0.149967955565050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7" fillId="3" borderId="3" xfId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9" fontId="7" fillId="3" borderId="30" xfId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textRotation="90"/>
    </xf>
    <xf numFmtId="0" fontId="6" fillId="5" borderId="3" xfId="0" applyFont="1" applyFill="1" applyBorder="1" applyAlignment="1">
      <alignment horizontal="center" vertical="center" textRotation="90"/>
    </xf>
    <xf numFmtId="0" fontId="9" fillId="2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textRotation="90"/>
    </xf>
    <xf numFmtId="0" fontId="4" fillId="3" borderId="3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textRotation="90"/>
    </xf>
    <xf numFmtId="0" fontId="14" fillId="4" borderId="3" xfId="0" applyFont="1" applyFill="1" applyBorder="1" applyAlignment="1">
      <alignment horizontal="center" vertical="center" textRotation="90"/>
    </xf>
  </cellXfs>
  <cellStyles count="3">
    <cellStyle name="Normal" xfId="0" builtinId="0"/>
    <cellStyle name="Normal 2" xfId="2" xr:uid="{00000000-0005-0000-0000-000001000000}"/>
    <cellStyle name="Porcentagem" xfId="1" builtinId="5"/>
  </cellStyles>
  <dxfs count="2">
    <dxf>
      <font>
        <color rgb="FFC00000"/>
      </font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1D7044"/>
      <color rgb="FFD1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audia\Downloads\Controle%20de%20Vendas%20para%20Loja%20Virtual%20-%20Em%20branc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to\OneDrive\&#193;rea%20de%20Trabalho\PLANILHAS\Planilhas%20Atualizadas\Planilha%20de%20Controle%20de%20Estoque\Controle%20de%20Estoque%202.0%20com%20exempl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to\OneDrive\&#193;rea%20de%20Trabalho\PLANILHAS\PLANILHAS%20LOJA\Planilha%20Bol&#227;o%20da%20Copa\PLANILHA%20BOL&#195;O%20DA%20COPA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Cadastro Cliente"/>
      <sheetName val="Entradas"/>
      <sheetName val="Estoque"/>
      <sheetName val="Vendas"/>
      <sheetName val="Unidade Medida"/>
      <sheetName val="Relatório Geral"/>
      <sheetName val="Sobre a Excel Eas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ventário"/>
      <sheetName val="Entradas"/>
      <sheetName val="Saídas"/>
      <sheetName val="Instruções"/>
      <sheetName val="Sobre Nó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struções"/>
      <sheetName val="Participantes"/>
      <sheetName val="Jogos"/>
      <sheetName val="Bolão de Resultado"/>
      <sheetName val="Bolão de Placar"/>
      <sheetName val="Premiação Por Bolão"/>
      <sheetName val="Premiação Por Participante"/>
      <sheetName val="Sobre Nó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P58"/>
  <sheetViews>
    <sheetView showGridLines="0" tabSelected="1" topLeftCell="A22" zoomScaleNormal="100" workbookViewId="0">
      <selection activeCell="N46" sqref="N46"/>
    </sheetView>
  </sheetViews>
  <sheetFormatPr defaultColWidth="8.85546875" defaultRowHeight="15"/>
  <cols>
    <col min="1" max="1" width="0.28515625" style="1" customWidth="1"/>
    <col min="2" max="2" width="3.140625" style="3" customWidth="1"/>
    <col min="3" max="3" width="39" style="1" customWidth="1"/>
    <col min="4" max="34" width="3.7109375" style="3" customWidth="1"/>
    <col min="35" max="35" width="0.85546875" style="1" customWidth="1"/>
    <col min="36" max="38" width="5.28515625" style="3" customWidth="1"/>
    <col min="39" max="39" width="0.7109375" style="1" customWidth="1"/>
    <col min="40" max="40" width="3.140625" style="1" customWidth="1"/>
    <col min="41" max="41" width="4" style="1" customWidth="1"/>
    <col min="42" max="42" width="15.5703125" style="1" customWidth="1"/>
    <col min="43" max="16384" width="8.85546875" style="1"/>
  </cols>
  <sheetData>
    <row r="1" spans="2:42" ht="4.1500000000000004" customHeight="1" thickBot="1"/>
    <row r="2" spans="2:42" ht="108.75" customHeight="1">
      <c r="B2" s="16"/>
      <c r="C2" s="65" t="s">
        <v>0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6"/>
    </row>
    <row r="3" spans="2:42" ht="21">
      <c r="B3" s="44" t="s">
        <v>1</v>
      </c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5"/>
      <c r="R3" s="45"/>
      <c r="S3" s="45"/>
      <c r="T3" s="46"/>
      <c r="U3" s="46"/>
      <c r="V3" s="46"/>
      <c r="W3" s="46"/>
      <c r="X3" s="46"/>
      <c r="Y3" s="46"/>
      <c r="Z3" s="46"/>
      <c r="AA3" s="46"/>
      <c r="AB3" s="49" t="s">
        <v>2</v>
      </c>
      <c r="AC3" s="50"/>
      <c r="AD3" s="50"/>
      <c r="AE3" s="50"/>
      <c r="AF3" s="50"/>
      <c r="AG3" s="50"/>
      <c r="AH3" s="51"/>
      <c r="AJ3" s="81" t="s">
        <v>3</v>
      </c>
      <c r="AK3" s="42" t="s">
        <v>4</v>
      </c>
      <c r="AL3" s="78" t="s">
        <v>5</v>
      </c>
      <c r="AP3" s="17"/>
    </row>
    <row r="4" spans="2:42" ht="18" customHeight="1">
      <c r="B4" s="55" t="s">
        <v>6</v>
      </c>
      <c r="C4" s="56"/>
      <c r="D4" s="76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7" t="s">
        <v>7</v>
      </c>
      <c r="R4" s="77"/>
      <c r="S4" s="77"/>
      <c r="T4" s="73"/>
      <c r="U4" s="73"/>
      <c r="V4" s="73"/>
      <c r="W4" s="73"/>
      <c r="X4" s="73"/>
      <c r="Y4" s="73"/>
      <c r="Z4" s="73"/>
      <c r="AA4" s="74"/>
      <c r="AB4" s="52"/>
      <c r="AC4" s="53"/>
      <c r="AD4" s="53"/>
      <c r="AE4" s="53"/>
      <c r="AF4" s="53"/>
      <c r="AG4" s="53"/>
      <c r="AH4" s="54"/>
      <c r="AJ4" s="82"/>
      <c r="AK4" s="43"/>
      <c r="AL4" s="79"/>
      <c r="AP4" s="17"/>
    </row>
    <row r="5" spans="2:42" ht="18" customHeight="1">
      <c r="B5" s="18"/>
      <c r="C5" s="12" t="s">
        <v>8</v>
      </c>
      <c r="D5" s="75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  <c r="Q5" s="70" t="s">
        <v>9</v>
      </c>
      <c r="R5" s="70"/>
      <c r="S5" s="70"/>
      <c r="T5" s="72"/>
      <c r="U5" s="73"/>
      <c r="V5" s="73"/>
      <c r="W5" s="73"/>
      <c r="X5" s="73"/>
      <c r="Y5" s="73"/>
      <c r="Z5" s="73"/>
      <c r="AA5" s="74"/>
      <c r="AB5" s="13"/>
      <c r="AC5" s="14"/>
      <c r="AD5" s="14"/>
      <c r="AE5" s="14"/>
      <c r="AF5" s="14"/>
      <c r="AG5" s="14"/>
      <c r="AH5" s="15"/>
      <c r="AJ5" s="82"/>
      <c r="AK5" s="43"/>
      <c r="AL5" s="79"/>
      <c r="AP5" s="17"/>
    </row>
    <row r="6" spans="2:42" ht="17.45" customHeight="1">
      <c r="B6" s="19"/>
      <c r="C6" s="12" t="s">
        <v>10</v>
      </c>
      <c r="D6" s="6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  <c r="Q6" s="70" t="s">
        <v>11</v>
      </c>
      <c r="R6" s="70"/>
      <c r="S6" s="70"/>
      <c r="T6" s="71"/>
      <c r="U6" s="68"/>
      <c r="V6" s="68"/>
      <c r="W6" s="68"/>
      <c r="X6" s="68"/>
      <c r="Y6" s="68"/>
      <c r="Z6" s="68"/>
      <c r="AA6" s="69"/>
      <c r="AB6" s="80">
        <v>2025</v>
      </c>
      <c r="AC6" s="80"/>
      <c r="AD6" s="80"/>
      <c r="AE6" s="80"/>
      <c r="AF6" s="80"/>
      <c r="AG6" s="80"/>
      <c r="AH6" s="80"/>
      <c r="AJ6" s="82"/>
      <c r="AK6" s="43"/>
      <c r="AL6" s="79"/>
      <c r="AO6" s="9"/>
      <c r="AP6" s="20" t="s">
        <v>12</v>
      </c>
    </row>
    <row r="7" spans="2:42">
      <c r="B7" s="21"/>
      <c r="C7" s="12" t="s">
        <v>13</v>
      </c>
      <c r="D7" s="47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57" t="s">
        <v>14</v>
      </c>
      <c r="R7" s="58"/>
      <c r="S7" s="59"/>
      <c r="T7" s="60"/>
      <c r="U7" s="61"/>
      <c r="V7" s="61"/>
      <c r="W7" s="61"/>
      <c r="X7" s="61"/>
      <c r="Y7" s="61"/>
      <c r="Z7" s="61"/>
      <c r="AA7" s="62"/>
      <c r="AB7" s="80"/>
      <c r="AC7" s="80"/>
      <c r="AD7" s="80"/>
      <c r="AE7" s="80"/>
      <c r="AF7" s="80"/>
      <c r="AG7" s="80"/>
      <c r="AH7" s="80"/>
      <c r="AJ7" s="82"/>
      <c r="AK7" s="43"/>
      <c r="AL7" s="79"/>
      <c r="AO7" s="10" t="s">
        <v>15</v>
      </c>
      <c r="AP7" s="20" t="s">
        <v>16</v>
      </c>
    </row>
    <row r="8" spans="2:42">
      <c r="B8" s="22" t="s">
        <v>17</v>
      </c>
      <c r="C8" s="23" t="s">
        <v>18</v>
      </c>
      <c r="D8" s="24">
        <f>DATE(AB6,MONTH(AB3&amp;1),1)</f>
        <v>45778</v>
      </c>
      <c r="E8" s="24">
        <f>D8+1</f>
        <v>45779</v>
      </c>
      <c r="F8" s="24">
        <f t="shared" ref="F8:AH8" si="0">E8+1</f>
        <v>45780</v>
      </c>
      <c r="G8" s="24">
        <f t="shared" si="0"/>
        <v>45781</v>
      </c>
      <c r="H8" s="24">
        <f t="shared" si="0"/>
        <v>45782</v>
      </c>
      <c r="I8" s="24">
        <f t="shared" si="0"/>
        <v>45783</v>
      </c>
      <c r="J8" s="24">
        <f t="shared" si="0"/>
        <v>45784</v>
      </c>
      <c r="K8" s="24">
        <f t="shared" si="0"/>
        <v>45785</v>
      </c>
      <c r="L8" s="24">
        <f t="shared" si="0"/>
        <v>45786</v>
      </c>
      <c r="M8" s="24">
        <f t="shared" si="0"/>
        <v>45787</v>
      </c>
      <c r="N8" s="24">
        <f t="shared" si="0"/>
        <v>45788</v>
      </c>
      <c r="O8" s="24">
        <f t="shared" si="0"/>
        <v>45789</v>
      </c>
      <c r="P8" s="24">
        <f t="shared" si="0"/>
        <v>45790</v>
      </c>
      <c r="Q8" s="24">
        <f t="shared" si="0"/>
        <v>45791</v>
      </c>
      <c r="R8" s="24">
        <f t="shared" si="0"/>
        <v>45792</v>
      </c>
      <c r="S8" s="24">
        <f t="shared" si="0"/>
        <v>45793</v>
      </c>
      <c r="T8" s="24">
        <f t="shared" si="0"/>
        <v>45794</v>
      </c>
      <c r="U8" s="24">
        <f t="shared" si="0"/>
        <v>45795</v>
      </c>
      <c r="V8" s="24">
        <f t="shared" si="0"/>
        <v>45796</v>
      </c>
      <c r="W8" s="24">
        <f t="shared" si="0"/>
        <v>45797</v>
      </c>
      <c r="X8" s="24">
        <f t="shared" si="0"/>
        <v>45798</v>
      </c>
      <c r="Y8" s="24">
        <f t="shared" si="0"/>
        <v>45799</v>
      </c>
      <c r="Z8" s="24">
        <f t="shared" si="0"/>
        <v>45800</v>
      </c>
      <c r="AA8" s="24">
        <f t="shared" si="0"/>
        <v>45801</v>
      </c>
      <c r="AB8" s="24">
        <f t="shared" si="0"/>
        <v>45802</v>
      </c>
      <c r="AC8" s="24">
        <f t="shared" si="0"/>
        <v>45803</v>
      </c>
      <c r="AD8" s="24">
        <f t="shared" si="0"/>
        <v>45804</v>
      </c>
      <c r="AE8" s="24">
        <f t="shared" si="0"/>
        <v>45805</v>
      </c>
      <c r="AF8" s="24">
        <f t="shared" si="0"/>
        <v>45806</v>
      </c>
      <c r="AG8" s="24">
        <f t="shared" si="0"/>
        <v>45807</v>
      </c>
      <c r="AH8" s="24">
        <f t="shared" si="0"/>
        <v>45808</v>
      </c>
      <c r="AJ8" s="82"/>
      <c r="AK8" s="43"/>
      <c r="AL8" s="79"/>
      <c r="AO8" s="11" t="s">
        <v>19</v>
      </c>
      <c r="AP8" s="20" t="s">
        <v>20</v>
      </c>
    </row>
    <row r="9" spans="2:42" s="2" customFormat="1" ht="12.75">
      <c r="B9" s="25">
        <v>1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J9" s="7">
        <f>COUNTIF(D9:AH9,"A")</f>
        <v>0</v>
      </c>
      <c r="AK9" s="8">
        <f>COUNTIF(D9:AH9,"P")</f>
        <v>0</v>
      </c>
      <c r="AL9" s="6" t="str">
        <f>IFERROR(AK9/COUNTA(D9:AH9),"")</f>
        <v/>
      </c>
      <c r="AP9" s="26"/>
    </row>
    <row r="10" spans="2:42" s="2" customFormat="1" ht="12.75">
      <c r="B10" s="25">
        <v>2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J10" s="7">
        <f t="shared" ref="AJ10:AJ53" si="1">COUNTIF(D10:AH10,"A")</f>
        <v>0</v>
      </c>
      <c r="AK10" s="8">
        <f t="shared" ref="AK10:AK53" si="2">COUNTIF(D10:AH10,"P")</f>
        <v>0</v>
      </c>
      <c r="AL10" s="6" t="str">
        <f t="shared" ref="AL10:AL53" si="3">IFERROR(AK10/COUNTA(D10:AH10),"")</f>
        <v/>
      </c>
      <c r="AO10" s="27"/>
      <c r="AP10" s="26"/>
    </row>
    <row r="11" spans="2:42" s="2" customFormat="1" ht="12.75">
      <c r="B11" s="25">
        <v>3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J11" s="7">
        <f t="shared" si="1"/>
        <v>0</v>
      </c>
      <c r="AK11" s="8">
        <f t="shared" si="2"/>
        <v>0</v>
      </c>
      <c r="AL11" s="6" t="str">
        <f t="shared" si="3"/>
        <v/>
      </c>
      <c r="AP11" s="26"/>
    </row>
    <row r="12" spans="2:42" s="2" customFormat="1" ht="12.75">
      <c r="B12" s="25">
        <v>4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J12" s="7">
        <f t="shared" si="1"/>
        <v>0</v>
      </c>
      <c r="AK12" s="8">
        <f t="shared" si="2"/>
        <v>0</v>
      </c>
      <c r="AL12" s="6" t="str">
        <f t="shared" si="3"/>
        <v/>
      </c>
      <c r="AP12" s="26"/>
    </row>
    <row r="13" spans="2:42" s="2" customFormat="1" ht="12.75">
      <c r="B13" s="25">
        <v>5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J13" s="7">
        <f t="shared" si="1"/>
        <v>0</v>
      </c>
      <c r="AK13" s="8">
        <f t="shared" si="2"/>
        <v>0</v>
      </c>
      <c r="AL13" s="6" t="str">
        <f t="shared" si="3"/>
        <v/>
      </c>
      <c r="AP13" s="26"/>
    </row>
    <row r="14" spans="2:42" s="2" customFormat="1" ht="12.75">
      <c r="B14" s="25">
        <v>6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J14" s="7">
        <f t="shared" si="1"/>
        <v>0</v>
      </c>
      <c r="AK14" s="8">
        <f t="shared" si="2"/>
        <v>0</v>
      </c>
      <c r="AL14" s="6" t="str">
        <f t="shared" si="3"/>
        <v/>
      </c>
      <c r="AP14" s="26"/>
    </row>
    <row r="15" spans="2:42" s="2" customFormat="1" ht="12.75">
      <c r="B15" s="25">
        <v>7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J15" s="7">
        <f t="shared" si="1"/>
        <v>0</v>
      </c>
      <c r="AK15" s="8">
        <f t="shared" si="2"/>
        <v>0</v>
      </c>
      <c r="AL15" s="6" t="str">
        <f t="shared" si="3"/>
        <v/>
      </c>
      <c r="AP15" s="26"/>
    </row>
    <row r="16" spans="2:42" s="2" customFormat="1" ht="12.75">
      <c r="B16" s="25">
        <v>8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J16" s="7">
        <f t="shared" si="1"/>
        <v>0</v>
      </c>
      <c r="AK16" s="8">
        <f t="shared" si="2"/>
        <v>0</v>
      </c>
      <c r="AL16" s="6" t="str">
        <f t="shared" si="3"/>
        <v/>
      </c>
      <c r="AP16" s="26"/>
    </row>
    <row r="17" spans="2:42" s="2" customFormat="1" ht="12.75">
      <c r="B17" s="25">
        <v>9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J17" s="7">
        <f t="shared" si="1"/>
        <v>0</v>
      </c>
      <c r="AK17" s="8">
        <f t="shared" si="2"/>
        <v>0</v>
      </c>
      <c r="AL17" s="6" t="str">
        <f t="shared" si="3"/>
        <v/>
      </c>
      <c r="AP17" s="26"/>
    </row>
    <row r="18" spans="2:42" s="2" customFormat="1" ht="12.75">
      <c r="B18" s="25">
        <v>10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J18" s="7">
        <f t="shared" si="1"/>
        <v>0</v>
      </c>
      <c r="AK18" s="8">
        <f t="shared" si="2"/>
        <v>0</v>
      </c>
      <c r="AL18" s="6" t="str">
        <f t="shared" si="3"/>
        <v/>
      </c>
      <c r="AP18" s="26"/>
    </row>
    <row r="19" spans="2:42" s="2" customFormat="1" ht="12.75">
      <c r="B19" s="25">
        <v>11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J19" s="7">
        <f t="shared" si="1"/>
        <v>0</v>
      </c>
      <c r="AK19" s="8">
        <f t="shared" si="2"/>
        <v>0</v>
      </c>
      <c r="AL19" s="6" t="str">
        <f t="shared" si="3"/>
        <v/>
      </c>
      <c r="AP19" s="26"/>
    </row>
    <row r="20" spans="2:42" s="2" customFormat="1" ht="12.75">
      <c r="B20" s="25">
        <v>12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J20" s="7">
        <f t="shared" si="1"/>
        <v>0</v>
      </c>
      <c r="AK20" s="8">
        <f t="shared" si="2"/>
        <v>0</v>
      </c>
      <c r="AL20" s="6" t="str">
        <f t="shared" si="3"/>
        <v/>
      </c>
      <c r="AP20" s="26"/>
    </row>
    <row r="21" spans="2:42" s="2" customFormat="1" ht="12.75">
      <c r="B21" s="25">
        <v>13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J21" s="7">
        <f t="shared" si="1"/>
        <v>0</v>
      </c>
      <c r="AK21" s="8">
        <f t="shared" si="2"/>
        <v>0</v>
      </c>
      <c r="AL21" s="6" t="str">
        <f t="shared" si="3"/>
        <v/>
      </c>
      <c r="AP21" s="26"/>
    </row>
    <row r="22" spans="2:42" s="2" customFormat="1" ht="12.75">
      <c r="B22" s="25">
        <v>14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J22" s="7">
        <f t="shared" si="1"/>
        <v>0</v>
      </c>
      <c r="AK22" s="8">
        <f t="shared" si="2"/>
        <v>0</v>
      </c>
      <c r="AL22" s="6" t="str">
        <f t="shared" si="3"/>
        <v/>
      </c>
      <c r="AP22" s="26"/>
    </row>
    <row r="23" spans="2:42" s="2" customFormat="1" ht="12.75">
      <c r="B23" s="25">
        <v>15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J23" s="7">
        <f t="shared" si="1"/>
        <v>0</v>
      </c>
      <c r="AK23" s="8">
        <f t="shared" si="2"/>
        <v>0</v>
      </c>
      <c r="AL23" s="6" t="str">
        <f t="shared" si="3"/>
        <v/>
      </c>
      <c r="AP23" s="26"/>
    </row>
    <row r="24" spans="2:42" s="2" customFormat="1" ht="12.75">
      <c r="B24" s="25">
        <v>16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J24" s="7">
        <f t="shared" si="1"/>
        <v>0</v>
      </c>
      <c r="AK24" s="8">
        <f t="shared" si="2"/>
        <v>0</v>
      </c>
      <c r="AL24" s="6" t="str">
        <f t="shared" si="3"/>
        <v/>
      </c>
      <c r="AP24" s="26"/>
    </row>
    <row r="25" spans="2:42" s="2" customFormat="1" ht="12.75">
      <c r="B25" s="25">
        <v>17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J25" s="7">
        <f t="shared" si="1"/>
        <v>0</v>
      </c>
      <c r="AK25" s="8">
        <f t="shared" si="2"/>
        <v>0</v>
      </c>
      <c r="AL25" s="6" t="str">
        <f t="shared" si="3"/>
        <v/>
      </c>
      <c r="AP25" s="26"/>
    </row>
    <row r="26" spans="2:42" s="2" customFormat="1" ht="12.75">
      <c r="B26" s="25">
        <v>18</v>
      </c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J26" s="7">
        <f t="shared" si="1"/>
        <v>0</v>
      </c>
      <c r="AK26" s="8">
        <f t="shared" si="2"/>
        <v>0</v>
      </c>
      <c r="AL26" s="6" t="str">
        <f t="shared" si="3"/>
        <v/>
      </c>
      <c r="AP26" s="26"/>
    </row>
    <row r="27" spans="2:42" s="2" customFormat="1" ht="12.75">
      <c r="B27" s="25">
        <v>19</v>
      </c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J27" s="7">
        <f t="shared" si="1"/>
        <v>0</v>
      </c>
      <c r="AK27" s="8">
        <f t="shared" si="2"/>
        <v>0</v>
      </c>
      <c r="AL27" s="6" t="str">
        <f t="shared" si="3"/>
        <v/>
      </c>
      <c r="AP27" s="26"/>
    </row>
    <row r="28" spans="2:42" s="2" customFormat="1" ht="12.75">
      <c r="B28" s="25">
        <v>20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J28" s="7">
        <f t="shared" si="1"/>
        <v>0</v>
      </c>
      <c r="AK28" s="8">
        <f t="shared" si="2"/>
        <v>0</v>
      </c>
      <c r="AL28" s="6" t="str">
        <f t="shared" si="3"/>
        <v/>
      </c>
      <c r="AP28" s="26"/>
    </row>
    <row r="29" spans="2:42" s="2" customFormat="1" ht="12.75">
      <c r="B29" s="25">
        <v>21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J29" s="7">
        <f t="shared" si="1"/>
        <v>0</v>
      </c>
      <c r="AK29" s="8">
        <f t="shared" si="2"/>
        <v>0</v>
      </c>
      <c r="AL29" s="6" t="str">
        <f t="shared" si="3"/>
        <v/>
      </c>
      <c r="AP29" s="26"/>
    </row>
    <row r="30" spans="2:42" s="2" customFormat="1" ht="12.75">
      <c r="B30" s="25">
        <v>22</v>
      </c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J30" s="7">
        <f t="shared" si="1"/>
        <v>0</v>
      </c>
      <c r="AK30" s="8">
        <f t="shared" si="2"/>
        <v>0</v>
      </c>
      <c r="AL30" s="6" t="str">
        <f t="shared" si="3"/>
        <v/>
      </c>
      <c r="AP30" s="26"/>
    </row>
    <row r="31" spans="2:42" s="2" customFormat="1" ht="12.75">
      <c r="B31" s="25">
        <v>23</v>
      </c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J31" s="7">
        <f t="shared" si="1"/>
        <v>0</v>
      </c>
      <c r="AK31" s="8">
        <f t="shared" si="2"/>
        <v>0</v>
      </c>
      <c r="AL31" s="6" t="str">
        <f t="shared" si="3"/>
        <v/>
      </c>
      <c r="AP31" s="26"/>
    </row>
    <row r="32" spans="2:42" s="2" customFormat="1" ht="12.75">
      <c r="B32" s="25">
        <v>24</v>
      </c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J32" s="7">
        <f t="shared" si="1"/>
        <v>0</v>
      </c>
      <c r="AK32" s="8">
        <f t="shared" si="2"/>
        <v>0</v>
      </c>
      <c r="AL32" s="6" t="str">
        <f t="shared" si="3"/>
        <v/>
      </c>
      <c r="AP32" s="26"/>
    </row>
    <row r="33" spans="2:42" s="2" customFormat="1" ht="12.75">
      <c r="B33" s="25">
        <v>25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J33" s="7">
        <f t="shared" si="1"/>
        <v>0</v>
      </c>
      <c r="AK33" s="8">
        <f t="shared" si="2"/>
        <v>0</v>
      </c>
      <c r="AL33" s="6" t="str">
        <f t="shared" si="3"/>
        <v/>
      </c>
      <c r="AP33" s="26"/>
    </row>
    <row r="34" spans="2:42" s="2" customFormat="1" ht="12.75">
      <c r="B34" s="25">
        <v>26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J34" s="7">
        <f t="shared" si="1"/>
        <v>0</v>
      </c>
      <c r="AK34" s="8">
        <f t="shared" si="2"/>
        <v>0</v>
      </c>
      <c r="AL34" s="6" t="str">
        <f t="shared" si="3"/>
        <v/>
      </c>
      <c r="AP34" s="26"/>
    </row>
    <row r="35" spans="2:42" s="2" customFormat="1" ht="12.75">
      <c r="B35" s="25">
        <v>27</v>
      </c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J35" s="7">
        <f t="shared" si="1"/>
        <v>0</v>
      </c>
      <c r="AK35" s="8">
        <f t="shared" si="2"/>
        <v>0</v>
      </c>
      <c r="AL35" s="6" t="str">
        <f t="shared" si="3"/>
        <v/>
      </c>
      <c r="AP35" s="26"/>
    </row>
    <row r="36" spans="2:42" s="2" customFormat="1" ht="12.75">
      <c r="B36" s="25">
        <v>28</v>
      </c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J36" s="7">
        <f t="shared" si="1"/>
        <v>0</v>
      </c>
      <c r="AK36" s="8">
        <f t="shared" si="2"/>
        <v>0</v>
      </c>
      <c r="AL36" s="6" t="str">
        <f t="shared" si="3"/>
        <v/>
      </c>
      <c r="AP36" s="26"/>
    </row>
    <row r="37" spans="2:42" s="2" customFormat="1" ht="12.75">
      <c r="B37" s="25">
        <v>29</v>
      </c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J37" s="7">
        <f t="shared" si="1"/>
        <v>0</v>
      </c>
      <c r="AK37" s="8">
        <f t="shared" si="2"/>
        <v>0</v>
      </c>
      <c r="AL37" s="6" t="str">
        <f t="shared" si="3"/>
        <v/>
      </c>
      <c r="AP37" s="26"/>
    </row>
    <row r="38" spans="2:42" s="2" customFormat="1" ht="12.75">
      <c r="B38" s="25">
        <v>30</v>
      </c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J38" s="7">
        <f t="shared" si="1"/>
        <v>0</v>
      </c>
      <c r="AK38" s="8">
        <f t="shared" si="2"/>
        <v>0</v>
      </c>
      <c r="AL38" s="6" t="str">
        <f t="shared" si="3"/>
        <v/>
      </c>
      <c r="AP38" s="26"/>
    </row>
    <row r="39" spans="2:42" s="2" customFormat="1" ht="12.75">
      <c r="B39" s="25">
        <v>31</v>
      </c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J39" s="7">
        <f t="shared" si="1"/>
        <v>0</v>
      </c>
      <c r="AK39" s="8">
        <f t="shared" si="2"/>
        <v>0</v>
      </c>
      <c r="AL39" s="6" t="str">
        <f t="shared" si="3"/>
        <v/>
      </c>
      <c r="AP39" s="26"/>
    </row>
    <row r="40" spans="2:42" s="2" customFormat="1" ht="12.75">
      <c r="B40" s="25">
        <v>32</v>
      </c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J40" s="7">
        <f t="shared" si="1"/>
        <v>0</v>
      </c>
      <c r="AK40" s="8">
        <f t="shared" si="2"/>
        <v>0</v>
      </c>
      <c r="AL40" s="6" t="str">
        <f t="shared" si="3"/>
        <v/>
      </c>
      <c r="AP40" s="26"/>
    </row>
    <row r="41" spans="2:42" s="2" customFormat="1" ht="12.75">
      <c r="B41" s="25">
        <v>33</v>
      </c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J41" s="7">
        <f t="shared" si="1"/>
        <v>0</v>
      </c>
      <c r="AK41" s="8">
        <f t="shared" si="2"/>
        <v>0</v>
      </c>
      <c r="AL41" s="6" t="str">
        <f t="shared" si="3"/>
        <v/>
      </c>
      <c r="AP41" s="26"/>
    </row>
    <row r="42" spans="2:42" s="2" customFormat="1" ht="12.75">
      <c r="B42" s="25">
        <v>34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J42" s="7">
        <f t="shared" si="1"/>
        <v>0</v>
      </c>
      <c r="AK42" s="8">
        <f t="shared" si="2"/>
        <v>0</v>
      </c>
      <c r="AL42" s="6" t="str">
        <f t="shared" si="3"/>
        <v/>
      </c>
      <c r="AP42" s="26"/>
    </row>
    <row r="43" spans="2:42" s="2" customFormat="1" ht="12.75">
      <c r="B43" s="25">
        <v>35</v>
      </c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J43" s="7">
        <f t="shared" si="1"/>
        <v>0</v>
      </c>
      <c r="AK43" s="8">
        <f t="shared" si="2"/>
        <v>0</v>
      </c>
      <c r="AL43" s="6" t="str">
        <f t="shared" si="3"/>
        <v/>
      </c>
      <c r="AP43" s="26"/>
    </row>
    <row r="44" spans="2:42" s="2" customFormat="1" ht="12.75">
      <c r="B44" s="25">
        <v>36</v>
      </c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J44" s="7">
        <f t="shared" si="1"/>
        <v>0</v>
      </c>
      <c r="AK44" s="8">
        <f t="shared" si="2"/>
        <v>0</v>
      </c>
      <c r="AL44" s="6" t="str">
        <f t="shared" si="3"/>
        <v/>
      </c>
      <c r="AP44" s="26"/>
    </row>
    <row r="45" spans="2:42" s="2" customFormat="1" ht="12.75">
      <c r="B45" s="25">
        <v>37</v>
      </c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J45" s="7">
        <f t="shared" si="1"/>
        <v>0</v>
      </c>
      <c r="AK45" s="8">
        <f t="shared" si="2"/>
        <v>0</v>
      </c>
      <c r="AL45" s="6" t="str">
        <f t="shared" si="3"/>
        <v/>
      </c>
      <c r="AP45" s="26"/>
    </row>
    <row r="46" spans="2:42" s="2" customFormat="1" ht="12.75">
      <c r="B46" s="25">
        <v>38</v>
      </c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J46" s="7">
        <f t="shared" si="1"/>
        <v>0</v>
      </c>
      <c r="AK46" s="8">
        <f t="shared" si="2"/>
        <v>0</v>
      </c>
      <c r="AL46" s="6" t="str">
        <f t="shared" si="3"/>
        <v/>
      </c>
      <c r="AP46" s="26"/>
    </row>
    <row r="47" spans="2:42" s="2" customFormat="1" ht="12.75">
      <c r="B47" s="25">
        <v>39</v>
      </c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J47" s="7">
        <f t="shared" si="1"/>
        <v>0</v>
      </c>
      <c r="AK47" s="8">
        <f t="shared" si="2"/>
        <v>0</v>
      </c>
      <c r="AL47" s="6" t="str">
        <f t="shared" si="3"/>
        <v/>
      </c>
      <c r="AP47" s="26"/>
    </row>
    <row r="48" spans="2:42" s="2" customFormat="1" ht="12.75">
      <c r="B48" s="25">
        <v>40</v>
      </c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J48" s="7">
        <f t="shared" si="1"/>
        <v>0</v>
      </c>
      <c r="AK48" s="8">
        <f t="shared" si="2"/>
        <v>0</v>
      </c>
      <c r="AL48" s="6" t="str">
        <f t="shared" si="3"/>
        <v/>
      </c>
      <c r="AP48" s="26"/>
    </row>
    <row r="49" spans="2:42" s="2" customFormat="1" ht="12.75">
      <c r="B49" s="25">
        <v>41</v>
      </c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J49" s="7">
        <f t="shared" si="1"/>
        <v>0</v>
      </c>
      <c r="AK49" s="8">
        <f t="shared" si="2"/>
        <v>0</v>
      </c>
      <c r="AL49" s="6" t="str">
        <f t="shared" si="3"/>
        <v/>
      </c>
      <c r="AP49" s="26"/>
    </row>
    <row r="50" spans="2:42" s="2" customFormat="1" ht="12.75">
      <c r="B50" s="25">
        <v>42</v>
      </c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J50" s="7">
        <f t="shared" si="1"/>
        <v>0</v>
      </c>
      <c r="AK50" s="8">
        <f t="shared" si="2"/>
        <v>0</v>
      </c>
      <c r="AL50" s="6" t="str">
        <f t="shared" si="3"/>
        <v/>
      </c>
      <c r="AP50" s="26"/>
    </row>
    <row r="51" spans="2:42" s="2" customFormat="1" ht="12.75">
      <c r="B51" s="25">
        <v>43</v>
      </c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J51" s="7">
        <f t="shared" si="1"/>
        <v>0</v>
      </c>
      <c r="AK51" s="8">
        <f t="shared" si="2"/>
        <v>0</v>
      </c>
      <c r="AL51" s="6" t="str">
        <f t="shared" si="3"/>
        <v/>
      </c>
      <c r="AP51" s="26"/>
    </row>
    <row r="52" spans="2:42" s="2" customFormat="1" ht="12.75">
      <c r="B52" s="25">
        <v>44</v>
      </c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J52" s="7">
        <f t="shared" si="1"/>
        <v>0</v>
      </c>
      <c r="AK52" s="8">
        <f t="shared" si="2"/>
        <v>0</v>
      </c>
      <c r="AL52" s="6" t="str">
        <f t="shared" si="3"/>
        <v/>
      </c>
      <c r="AP52" s="26"/>
    </row>
    <row r="53" spans="2:42" s="2" customFormat="1" ht="13.5" thickBot="1">
      <c r="B53" s="39">
        <v>45</v>
      </c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28"/>
      <c r="AJ53" s="29">
        <f t="shared" si="1"/>
        <v>0</v>
      </c>
      <c r="AK53" s="30">
        <f t="shared" si="2"/>
        <v>0</v>
      </c>
      <c r="AL53" s="31" t="str">
        <f t="shared" si="3"/>
        <v/>
      </c>
      <c r="AM53" s="28"/>
      <c r="AN53" s="28"/>
      <c r="AO53" s="28"/>
      <c r="AP53" s="32"/>
    </row>
    <row r="54" spans="2:42">
      <c r="B54" s="63" t="s">
        <v>21</v>
      </c>
      <c r="C54" s="64"/>
      <c r="D54" s="63" t="s">
        <v>22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3" t="s">
        <v>23</v>
      </c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33"/>
      <c r="AJ54" s="33"/>
      <c r="AK54" s="33"/>
      <c r="AL54" s="33"/>
      <c r="AM54" s="33"/>
      <c r="AN54" s="33"/>
      <c r="AO54" s="33"/>
      <c r="AP54" s="34"/>
    </row>
    <row r="55" spans="2:42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35"/>
      <c r="AJ55" s="35"/>
      <c r="AK55" s="35"/>
      <c r="AL55" s="35"/>
      <c r="AM55" s="35"/>
      <c r="AN55" s="35"/>
      <c r="AO55" s="35"/>
      <c r="AP55" s="36"/>
    </row>
    <row r="56" spans="2:42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35"/>
      <c r="AJ56" s="35"/>
      <c r="AK56" s="35"/>
      <c r="AL56" s="35"/>
      <c r="AM56" s="35"/>
      <c r="AN56" s="35"/>
      <c r="AO56" s="35"/>
      <c r="AP56" s="36"/>
    </row>
    <row r="57" spans="2:42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35"/>
      <c r="AJ57" s="35"/>
      <c r="AK57" s="35"/>
      <c r="AL57" s="35"/>
      <c r="AM57" s="35"/>
      <c r="AN57" s="35"/>
      <c r="AO57" s="35"/>
      <c r="AP57" s="36"/>
    </row>
    <row r="58" spans="2:42" ht="15.75" thickBot="1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37"/>
      <c r="AJ58" s="37"/>
      <c r="AK58" s="37"/>
      <c r="AL58" s="37"/>
      <c r="AM58" s="37"/>
      <c r="AN58" s="37"/>
      <c r="AO58" s="37"/>
      <c r="AP58" s="38"/>
    </row>
  </sheetData>
  <mergeCells count="23">
    <mergeCell ref="B54:C58"/>
    <mergeCell ref="D54:S58"/>
    <mergeCell ref="T54:AH58"/>
    <mergeCell ref="C2:AP2"/>
    <mergeCell ref="D6:P6"/>
    <mergeCell ref="Q6:S6"/>
    <mergeCell ref="T6:AA6"/>
    <mergeCell ref="Q5:S5"/>
    <mergeCell ref="T5:AA5"/>
    <mergeCell ref="D5:P5"/>
    <mergeCell ref="D4:P4"/>
    <mergeCell ref="Q4:S4"/>
    <mergeCell ref="T4:AA4"/>
    <mergeCell ref="AL3:AL8"/>
    <mergeCell ref="AB6:AH7"/>
    <mergeCell ref="AJ3:AJ8"/>
    <mergeCell ref="AK3:AK8"/>
    <mergeCell ref="B3:AA3"/>
    <mergeCell ref="D7:P7"/>
    <mergeCell ref="AB3:AH4"/>
    <mergeCell ref="B4:C4"/>
    <mergeCell ref="Q7:S7"/>
    <mergeCell ref="T7:AA7"/>
  </mergeCells>
  <phoneticPr fontId="16" type="noConversion"/>
  <conditionalFormatting sqref="D9:AH53">
    <cfRule type="expression" dxfId="1" priority="1">
      <formula>WEEKDAY(D$8,2)&gt;5</formula>
    </cfRule>
    <cfRule type="containsText" dxfId="0" priority="2" operator="containsText" text="A">
      <formula>NOT(ISERROR(SEARCH("A",D9)))</formula>
    </cfRule>
  </conditionalFormatting>
  <dataValidations count="2">
    <dataValidation type="list" allowBlank="1" showInputMessage="1" showErrorMessage="1" sqref="AB3" xr:uid="{00000000-0002-0000-0000-000000000000}">
      <formula1>"Janeiro,Fevereiro,Março,Abril,Maio,Junho,Julho,Agosto,Setembro,Outubro,Novembro,Dezembro"</formula1>
    </dataValidation>
    <dataValidation type="list" allowBlank="1" showInputMessage="1" showErrorMessage="1" sqref="AB6:AH7" xr:uid="{00000000-0002-0000-0000-000001000000}">
      <formula1>"2023,2024,2025,2026,2027,2028,2029,2030,2031,2032,2033,2034,2035,2036,2037,2038,2039,2040"</formula1>
    </dataValidation>
  </dataValidations>
  <pageMargins left="0.31496062992125984" right="3.937007874015748E-2" top="3.937007874015748E-2" bottom="3.937007874015748E-2" header="0.31496062992125984" footer="0.31496062992125984"/>
  <pageSetup paperSize="9" scale="82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431881DC2F78449F812E228857E4D7" ma:contentTypeVersion="18" ma:contentTypeDescription="Crie um novo documento." ma:contentTypeScope="" ma:versionID="a82e68e192cff5ab836130fa1436bba7">
  <xsd:schema xmlns:xsd="http://www.w3.org/2001/XMLSchema" xmlns:xs="http://www.w3.org/2001/XMLSchema" xmlns:p="http://schemas.microsoft.com/office/2006/metadata/properties" xmlns:ns2="64983ae0-b2d1-4cf1-a65f-a38a56ce288e" xmlns:ns3="f782b63d-a7c4-4184-8504-e02f89ae9d61" targetNamespace="http://schemas.microsoft.com/office/2006/metadata/properties" ma:root="true" ma:fieldsID="f636f3f7687b9de02af9a48c03f9b4cf" ns2:_="" ns3:_="">
    <xsd:import namespace="64983ae0-b2d1-4cf1-a65f-a38a56ce288e"/>
    <xsd:import namespace="f782b63d-a7c4-4184-8504-e02f89ae9d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3ae0-b2d1-4cf1-a65f-a38a56ce2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5557dcb-4169-490b-b25b-249c42b1d9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2b63d-a7c4-4184-8504-e02f89ae9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f25d3fe-d130-4c05-bc0e-382f600bb33f}" ma:internalName="TaxCatchAll" ma:showField="CatchAllData" ma:web="f782b63d-a7c4-4184-8504-e02f89ae9d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82b63d-a7c4-4184-8504-e02f89ae9d61" xsi:nil="true"/>
    <lcf76f155ced4ddcb4097134ff3c332f xmlns="64983ae0-b2d1-4cf1-a65f-a38a56ce288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ACA02F-958A-4FBC-8CD8-1516C183AC39}"/>
</file>

<file path=customXml/itemProps2.xml><?xml version="1.0" encoding="utf-8"?>
<ds:datastoreItem xmlns:ds="http://schemas.openxmlformats.org/officeDocument/2006/customXml" ds:itemID="{D2784600-4407-4BB6-9231-127A2CFD0044}"/>
</file>

<file path=customXml/itemProps3.xml><?xml version="1.0" encoding="utf-8"?>
<ds:datastoreItem xmlns:ds="http://schemas.openxmlformats.org/officeDocument/2006/customXml" ds:itemID="{3587EB8F-FC6B-4364-A1C4-4B4E9399F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Hermes Santos</dc:creator>
  <cp:keywords/>
  <dc:description/>
  <cp:lastModifiedBy>Karolaine de Sousa Rocha</cp:lastModifiedBy>
  <cp:revision/>
  <dcterms:created xsi:type="dcterms:W3CDTF">2023-02-20T12:53:00Z</dcterms:created>
  <dcterms:modified xsi:type="dcterms:W3CDTF">2025-05-16T19:16:05Z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0x010100C0431881DC2F78449F812E228857E4D7</vt:lpwstr>
  </property>
  <property fmtid="{D5CDD505-2E9C-101B-9397-08002B2CF9AE}" pid="3" name="MediaServiceImageTags">
    <vt:lpwstr/>
  </property>
</Properties>
</file>